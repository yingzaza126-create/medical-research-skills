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MA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  <color rgb="00FFFF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40" customWidth="1" min="3" max="3"/>
  </cols>
  <sheetData>
    <row r="1">
      <c r="A1" s="1" t="inlineStr">
        <is>
          <t>PRISMA 2020 – Reconciliation calculator (AMR/Sepsis BSI review)</t>
        </is>
      </c>
    </row>
    <row r="2">
      <c r="A2" s="2" t="inlineStr">
        <is>
          <t>กรอกเฉพาะช่องสีเหลือง (อ่านจาก EndNote groups) → ช่องสีเขียวคำนวณเอง + ตรวจความสอดคล้อง</t>
        </is>
      </c>
    </row>
    <row r="4">
      <c r="A4" s="3" t="inlineStr">
        <is>
          <t>INPUTS – กรอกจาก EndNote</t>
        </is>
      </c>
      <c r="B4" s="3" t="inlineStr">
        <is>
          <t>n</t>
        </is>
      </c>
      <c r="C4" s="3" t="inlineStr">
        <is>
          <t>อ่านจากที่ไหน / หมายเหตุ</t>
        </is>
      </c>
    </row>
    <row r="5">
      <c r="A5" s="4" t="inlineStr">
        <is>
          <t>Records identified – Databases</t>
        </is>
      </c>
      <c r="B5" s="5" t="n">
        <v>32907</v>
      </c>
      <c r="C5" s="6" t="inlineStr">
        <is>
          <t>PubMed 11,095 + Scopus 14,191 + WoS 5,481 + BMC 1,983 + Google Scholar 141 + JAMA 16 (จากสกรีนช็อต)</t>
        </is>
      </c>
    </row>
    <row r="6">
      <c r="A6" s="4" t="inlineStr">
        <is>
          <t>Records identified – Registers</t>
        </is>
      </c>
      <c r="B6" s="5" t="n">
        <v>6</v>
      </c>
      <c r="C6" s="6" t="inlineStr">
        <is>
          <t>CENTRAL</t>
        </is>
      </c>
    </row>
    <row r="7">
      <c r="A7" s="4" t="inlineStr">
        <is>
          <t>Duplicate records removed</t>
        </is>
      </c>
      <c r="B7" s="5" t="n"/>
      <c r="C7" s="6" t="inlineStr">
        <is>
          <t>group Suspected_Duplicates / Duplicate_Audit</t>
        </is>
      </c>
    </row>
    <row r="8">
      <c r="A8" s="4" t="inlineStr">
        <is>
          <t>Records marked ineligible by automation</t>
        </is>
      </c>
      <c r="B8" s="5" t="n">
        <v>0</v>
      </c>
      <c r="C8" s="6" t="inlineStr">
        <is>
          <t>ถ้าไม่ใช้ automation ใส่ 0</t>
        </is>
      </c>
    </row>
    <row r="9">
      <c r="A9" s="4" t="inlineStr">
        <is>
          <t>Records removed for other reasons</t>
        </is>
      </c>
      <c r="B9" s="5" t="n">
        <v>0</v>
      </c>
      <c r="C9" s="6" t="inlineStr">
        <is>
          <t>ก่อน screening (ถ้าไม่มี ใส่ 0)</t>
        </is>
      </c>
    </row>
    <row r="10">
      <c r="A10" s="4" t="inlineStr">
        <is>
          <t>Reports sought for retrieval</t>
        </is>
      </c>
      <c r="B10" s="5" t="n"/>
      <c r="C10" s="6" t="inlineStr">
        <is>
          <t>จำนวน full text ที่ตามหา</t>
        </is>
      </c>
    </row>
    <row r="11">
      <c r="A11" s="4" t="inlineStr">
        <is>
          <t>Reports NOT retrieved</t>
        </is>
      </c>
      <c r="B11" s="5" t="n">
        <v>0</v>
      </c>
      <c r="C11" s="6" t="inlineStr">
        <is>
          <t>หา full text ไม่ได้ (ถ้าครบ ใส่ 0)</t>
        </is>
      </c>
    </row>
    <row r="12">
      <c r="A12" s="4" t="inlineStr">
        <is>
          <t>Reason 1 – label</t>
        </is>
      </c>
      <c r="B12" s="5" t="inlineStr">
        <is>
          <t>Wrong outcome/comparator</t>
        </is>
      </c>
      <c r="C12" s="6" t="inlineStr">
        <is>
          <t>แก้ชื่อเหตุผลได้</t>
        </is>
      </c>
    </row>
    <row r="13">
      <c r="A13" s="4" t="inlineStr">
        <is>
          <t xml:space="preserve">   Reason 1 – n excluded (full text)</t>
        </is>
      </c>
      <c r="B13" s="5" t="n"/>
      <c r="C13" s="6" t="inlineStr">
        <is>
          <t>full-text excluded เหตุผลที่ 1</t>
        </is>
      </c>
    </row>
    <row r="14">
      <c r="A14" s="4" t="inlineStr">
        <is>
          <t>Reason 2 – label</t>
        </is>
      </c>
      <c r="B14" s="5" t="inlineStr">
        <is>
          <t>Wrong study design</t>
        </is>
      </c>
      <c r="C14" s="6" t="inlineStr"/>
    </row>
    <row r="15">
      <c r="A15" s="4" t="inlineStr">
        <is>
          <t xml:space="preserve">   Reason 2 – n excluded (full text)</t>
        </is>
      </c>
      <c r="B15" s="5" t="n"/>
      <c r="C15" s="6" t="inlineStr"/>
    </row>
    <row r="16">
      <c r="A16" s="4" t="inlineStr">
        <is>
          <t>Reason 3 – label</t>
        </is>
      </c>
      <c r="B16" s="5" t="inlineStr">
        <is>
          <t>Review / secondary</t>
        </is>
      </c>
      <c r="C16" s="6" t="inlineStr"/>
    </row>
    <row r="17">
      <c r="A17" s="4" t="inlineStr">
        <is>
          <t xml:space="preserve">   Reason 3 – n excluded (full text)</t>
        </is>
      </c>
      <c r="B17" s="5" t="n"/>
      <c r="C17" s="6" t="inlineStr"/>
    </row>
    <row r="18">
      <c r="A18" s="4" t="inlineStr">
        <is>
          <t>Studies included in review</t>
        </is>
      </c>
      <c r="B18" s="5" t="n"/>
      <c r="C18" s="6" t="inlineStr">
        <is>
          <t>จำนวน study สุดท้าย</t>
        </is>
      </c>
    </row>
    <row r="19">
      <c r="A19" s="4" t="inlineStr">
        <is>
          <t>Reports of included studies</t>
        </is>
      </c>
      <c r="B19" s="5" t="n"/>
      <c r="C19" s="6" t="inlineStr">
        <is>
          <t>จำนวน report ของ study ที่ include (&gt;= studies)</t>
        </is>
      </c>
    </row>
    <row r="21">
      <c r="A21" s="3" t="inlineStr">
        <is>
          <t>COMPUTED (PRISMA nodes)</t>
        </is>
      </c>
      <c r="B21" s="3" t="inlineStr">
        <is>
          <t>n</t>
        </is>
      </c>
      <c r="C21" s="3" t="inlineStr">
        <is>
          <t>สูตร</t>
        </is>
      </c>
    </row>
    <row r="22">
      <c r="A22" s="4" t="inlineStr">
        <is>
          <t>Total records identified</t>
        </is>
      </c>
      <c r="B22" s="7">
        <f>B5+B6</f>
        <v/>
      </c>
      <c r="C22" s="6" t="inlineStr">
        <is>
          <t>databases + registers</t>
        </is>
      </c>
    </row>
    <row r="23">
      <c r="A23" s="4" t="inlineStr">
        <is>
          <t>Records removed before screening (total)</t>
        </is>
      </c>
      <c r="B23" s="7">
        <f>B7+B8+B9</f>
        <v/>
      </c>
      <c r="C23" s="6" t="inlineStr">
        <is>
          <t>dup + automation + other</t>
        </is>
      </c>
    </row>
    <row r="24">
      <c r="A24" s="4" t="inlineStr">
        <is>
          <t>Records screened</t>
        </is>
      </c>
      <c r="B24" s="7">
        <f>(B5+B6)-(B7+B8+B9)</f>
        <v/>
      </c>
      <c r="C24" s="6" t="inlineStr">
        <is>
          <t>identified − removed</t>
        </is>
      </c>
    </row>
    <row r="25">
      <c r="A25" s="4" t="inlineStr">
        <is>
          <t>Records excluded (title/abstract)</t>
        </is>
      </c>
      <c r="B25" s="7">
        <f>((B5+B6)-(B7+B8+B9))-B10</f>
        <v/>
      </c>
      <c r="C25" s="6" t="inlineStr">
        <is>
          <t>screened − reports sought</t>
        </is>
      </c>
    </row>
    <row r="26">
      <c r="A26" s="4" t="inlineStr">
        <is>
          <t>Reports assessed for eligibility</t>
        </is>
      </c>
      <c r="B26" s="7">
        <f>B10-B11</f>
        <v/>
      </c>
      <c r="C26" s="6" t="inlineStr">
        <is>
          <t>sought − not retrieved (ควร = 62)</t>
        </is>
      </c>
    </row>
    <row r="27">
      <c r="A27" s="4" t="inlineStr">
        <is>
          <t>Full-text excluded (total)</t>
        </is>
      </c>
      <c r="B27" s="7">
        <f>B13+B15+B17</f>
        <v/>
      </c>
      <c r="C27" s="6" t="inlineStr">
        <is>
          <t>sum reasons</t>
        </is>
      </c>
    </row>
    <row r="29">
      <c r="A29" s="3" t="inlineStr">
        <is>
          <t>CONSISTENCY CHECKS</t>
        </is>
      </c>
      <c r="B29" s="3" t="inlineStr"/>
      <c r="C29" s="3" t="inlineStr"/>
    </row>
    <row r="30">
      <c r="A30" s="4" t="inlineStr">
        <is>
          <t>Records screened ≥ 0</t>
        </is>
      </c>
      <c r="B30" s="8">
        <f>IF(B24&gt;=0,"OK","ERROR: screened &lt; 0")</f>
        <v/>
      </c>
    </row>
    <row r="31">
      <c r="A31" s="4" t="inlineStr">
        <is>
          <t>Reports assessed = 62 (pdf.V2)</t>
        </is>
      </c>
      <c r="B31" s="8">
        <f>IF(B26=62,"OK",IF(B26="","(กรอก sought/not retrieved)","CHECK: ≠ 62"))</f>
        <v/>
      </c>
    </row>
    <row r="32">
      <c r="A32" s="4" t="inlineStr">
        <is>
          <t>Assessed = full-text excluded + reports included</t>
        </is>
      </c>
      <c r="B32" s="8">
        <f>IF(B26=B27+B19,"OK","CHECK: assessed ≠ excluded + included")</f>
        <v/>
      </c>
    </row>
    <row r="33">
      <c r="A33" s="4" t="inlineStr">
        <is>
          <t>Studies included ≤ Reports of included</t>
        </is>
      </c>
      <c r="B33" s="8">
        <f>IF(B18&lt;=B19,"OK","ERROR: studies &gt; reports")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2026-09-04T02:00:44Z</dcterms:created>
  <dcterms:modified xmlns:dcterms="http://purl.org/dc/terms/" xmlns:xsi="http://www.w3.org/2001/XMLSchema-instance" xsi:type="dcterms:W3CDTF">2026-09-04T02:00:44Z</dcterms:modified>
</cp:coreProperties>
</file>